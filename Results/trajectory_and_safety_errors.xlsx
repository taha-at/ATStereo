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1"/>
  <workbookPr/>
  <mc:AlternateContent xmlns:mc="http://schemas.openxmlformats.org/markup-compatibility/2006">
    <mc:Choice Requires="x15">
      <x15ac:absPath xmlns:x15ac="http://schemas.microsoft.com/office/spreadsheetml/2010/11/ac" url="/Users/abdelrahmantaha/Desktop/ATStereo/Results/"/>
    </mc:Choice>
  </mc:AlternateContent>
  <xr:revisionPtr revIDLastSave="0" documentId="13_ncr:1_{38F2E230-FDF8-FC48-B7E9-CDE493103AEF}" xr6:coauthVersionLast="47" xr6:coauthVersionMax="47" xr10:uidLastSave="{00000000-0000-0000-0000-000000000000}"/>
  <bookViews>
    <workbookView xWindow="0" yWindow="660" windowWidth="30240" windowHeight="18980" tabRatio="500" activeTab="1" xr2:uid="{00000000-000D-0000-FFFF-FFFF00000000}"/>
  </bookViews>
  <sheets>
    <sheet name="Safety" sheetId="1" r:id="rId1"/>
    <sheet name="Trajectory" sheetId="2" r:id="rId2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18" i="2" l="1"/>
  <c r="B19" i="2"/>
  <c r="C14" i="2"/>
  <c r="B14" i="2"/>
  <c r="C13" i="2"/>
  <c r="B13" i="2"/>
</calcChain>
</file>

<file path=xl/sharedStrings.xml><?xml version="1.0" encoding="utf-8"?>
<sst xmlns="http://schemas.openxmlformats.org/spreadsheetml/2006/main" count="37" uniqueCount="13">
  <si>
    <t>Subject</t>
  </si>
  <si>
    <t>left</t>
  </si>
  <si>
    <t>right</t>
  </si>
  <si>
    <t>Safe</t>
  </si>
  <si>
    <t>Reason (N/A)</t>
  </si>
  <si>
    <t>N/A</t>
  </si>
  <si>
    <t>Circular trajectory (cylindrical lead symmetry artifact)</t>
  </si>
  <si>
    <t>Unilateral implant (no left-hemisphere lead present)</t>
  </si>
  <si>
    <t>Slow trajectory (registration/reconstruction lag)</t>
  </si>
  <si>
    <t xml:space="preserve">std </t>
  </si>
  <si>
    <t>mean</t>
  </si>
  <si>
    <t>Mean across all Trajectories</t>
  </si>
  <si>
    <t>Std across all Trajectories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</si>
</sst>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</a:majorFont>
      <a:minorFont>
        <a:latin typeface="Aptos Narrow" panose="0211000402020202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1"/>
  <sheetViews>
    <sheetView topLeftCell="A3" zoomScale="125" zoomScaleNormal="125" workbookViewId="0">
      <selection activeCell="C19" sqref="C19"/>
    </sheetView>
  </sheetViews>
  <sheetFormatPr baseColWidth="10" defaultColWidth="10.5" defaultRowHeight="16" x14ac:dyDescent="0.2"/>
  <cols>
    <col min="1" max="1" width="28.33203125" customWidth="1"/>
    <col min="2" max="2" width="39" customWidth="1"/>
    <col min="3" max="3" width="44" customWidth="1"/>
  </cols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>
        <v>1</v>
      </c>
      <c r="B2" t="s">
        <v>3</v>
      </c>
      <c r="C2" t="s">
        <v>3</v>
      </c>
    </row>
    <row r="3" spans="1:3" x14ac:dyDescent="0.2">
      <c r="A3">
        <v>2</v>
      </c>
      <c r="B3" t="s">
        <v>3</v>
      </c>
      <c r="C3" t="s">
        <v>3</v>
      </c>
    </row>
    <row r="4" spans="1:3" x14ac:dyDescent="0.2">
      <c r="A4">
        <v>3</v>
      </c>
      <c r="B4" t="s">
        <v>3</v>
      </c>
      <c r="C4" t="s">
        <v>3</v>
      </c>
    </row>
    <row r="5" spans="1:3" x14ac:dyDescent="0.2">
      <c r="A5">
        <v>4</v>
      </c>
      <c r="B5" t="s">
        <v>3</v>
      </c>
      <c r="C5" t="s">
        <v>3</v>
      </c>
    </row>
    <row r="6" spans="1:3" x14ac:dyDescent="0.2">
      <c r="A6">
        <v>5</v>
      </c>
      <c r="B6" t="s">
        <v>3</v>
      </c>
      <c r="C6" t="s">
        <v>3</v>
      </c>
    </row>
    <row r="7" spans="1:3" x14ac:dyDescent="0.2">
      <c r="A7">
        <v>6</v>
      </c>
      <c r="B7" t="s">
        <v>3</v>
      </c>
      <c r="C7" t="s">
        <v>3</v>
      </c>
    </row>
    <row r="8" spans="1:3" x14ac:dyDescent="0.2">
      <c r="A8">
        <v>12</v>
      </c>
      <c r="B8" t="s">
        <v>3</v>
      </c>
      <c r="C8" t="s">
        <v>3</v>
      </c>
    </row>
    <row r="9" spans="1:3" x14ac:dyDescent="0.2">
      <c r="A9">
        <v>13</v>
      </c>
      <c r="B9" t="s">
        <v>3</v>
      </c>
      <c r="C9" t="s">
        <v>3</v>
      </c>
    </row>
    <row r="10" spans="1:3" x14ac:dyDescent="0.2">
      <c r="A10">
        <v>14</v>
      </c>
      <c r="B10" t="s">
        <v>3</v>
      </c>
      <c r="C10" t="s">
        <v>3</v>
      </c>
    </row>
    <row r="11" spans="1:3" x14ac:dyDescent="0.2">
      <c r="A11">
        <v>16</v>
      </c>
      <c r="B11" t="s">
        <v>3</v>
      </c>
      <c r="C11" t="s">
        <v>3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9"/>
  <sheetViews>
    <sheetView tabSelected="1" zoomScale="150" zoomScaleNormal="150" workbookViewId="0">
      <selection activeCell="B18" sqref="B18"/>
    </sheetView>
  </sheetViews>
  <sheetFormatPr baseColWidth="10" defaultColWidth="10.5" defaultRowHeight="16" x14ac:dyDescent="0.2"/>
  <cols>
    <col min="1" max="1" width="42.5" customWidth="1"/>
    <col min="2" max="2" width="45.83203125" customWidth="1"/>
    <col min="3" max="3" width="41" customWidth="1"/>
    <col min="4" max="4" width="45" customWidth="1"/>
  </cols>
  <sheetData>
    <row r="1" spans="1:4" x14ac:dyDescent="0.2">
      <c r="A1" t="s">
        <v>0</v>
      </c>
      <c r="B1" t="s">
        <v>1</v>
      </c>
      <c r="C1" t="s">
        <v>2</v>
      </c>
      <c r="D1" t="s">
        <v>4</v>
      </c>
    </row>
    <row r="2" spans="1:4" x14ac:dyDescent="0.2">
      <c r="A2">
        <v>1</v>
      </c>
      <c r="B2">
        <v>0.23119999999999999</v>
      </c>
      <c r="C2">
        <v>0.26840000000000003</v>
      </c>
    </row>
    <row r="3" spans="1:4" x14ac:dyDescent="0.2">
      <c r="A3">
        <v>2</v>
      </c>
      <c r="B3">
        <v>0.2843</v>
      </c>
      <c r="C3" t="s">
        <v>5</v>
      </c>
      <c r="D3" t="s">
        <v>6</v>
      </c>
    </row>
    <row r="4" spans="1:4" x14ac:dyDescent="0.2">
      <c r="A4">
        <v>3</v>
      </c>
      <c r="B4">
        <v>0.25819999999999999</v>
      </c>
      <c r="C4">
        <v>0.2757</v>
      </c>
    </row>
    <row r="5" spans="1:4" x14ac:dyDescent="0.2">
      <c r="A5">
        <v>4</v>
      </c>
      <c r="B5">
        <v>0.29089999999999999</v>
      </c>
      <c r="C5">
        <v>0.3397</v>
      </c>
    </row>
    <row r="6" spans="1:4" x14ac:dyDescent="0.2">
      <c r="A6">
        <v>5</v>
      </c>
      <c r="B6">
        <v>0.22289999999999999</v>
      </c>
      <c r="C6">
        <v>0.3019</v>
      </c>
    </row>
    <row r="7" spans="1:4" x14ac:dyDescent="0.2">
      <c r="A7">
        <v>6</v>
      </c>
      <c r="B7">
        <v>0.2044</v>
      </c>
      <c r="C7">
        <v>0.26229999999999998</v>
      </c>
    </row>
    <row r="8" spans="1:4" x14ac:dyDescent="0.2">
      <c r="A8">
        <v>12</v>
      </c>
      <c r="B8" t="s">
        <v>5</v>
      </c>
      <c r="C8">
        <v>0.2606</v>
      </c>
      <c r="D8" t="s">
        <v>7</v>
      </c>
    </row>
    <row r="9" spans="1:4" x14ac:dyDescent="0.2">
      <c r="A9">
        <v>13</v>
      </c>
      <c r="B9">
        <v>0.1124</v>
      </c>
      <c r="C9">
        <v>0.1794</v>
      </c>
    </row>
    <row r="10" spans="1:4" x14ac:dyDescent="0.2">
      <c r="A10">
        <v>14</v>
      </c>
      <c r="B10">
        <v>0.16930000000000001</v>
      </c>
      <c r="C10">
        <v>0.24829999999999999</v>
      </c>
    </row>
    <row r="11" spans="1:4" x14ac:dyDescent="0.2">
      <c r="A11">
        <v>16</v>
      </c>
      <c r="B11" t="s">
        <v>5</v>
      </c>
      <c r="C11">
        <v>0.43430000000000002</v>
      </c>
      <c r="D11" t="s">
        <v>8</v>
      </c>
    </row>
    <row r="13" spans="1:4" x14ac:dyDescent="0.2">
      <c r="A13" t="s">
        <v>9</v>
      </c>
      <c r="B13">
        <f>STDEV(B2:B11)</f>
        <v>5.9908120126931468E-2</v>
      </c>
      <c r="C13">
        <f>STDEV(C2:C11)</f>
        <v>7.0299053652552568E-2</v>
      </c>
    </row>
    <row r="14" spans="1:4" x14ac:dyDescent="0.2">
      <c r="A14" t="s">
        <v>10</v>
      </c>
      <c r="B14">
        <f>AVERAGE(B2:B11)</f>
        <v>0.22170000000000001</v>
      </c>
      <c r="C14">
        <f>AVERAGE(C2:C11)</f>
        <v>0.28562222222222222</v>
      </c>
    </row>
    <row r="18" spans="1:2" x14ac:dyDescent="0.2">
      <c r="A18" t="s">
        <v>11</v>
      </c>
      <c r="B18">
        <f>AVERAGE(B2:C11)</f>
        <v>0.25554117647058822</v>
      </c>
    </row>
    <row r="19" spans="1:2" x14ac:dyDescent="0.2">
      <c r="A19" t="s">
        <v>12</v>
      </c>
      <c r="B19">
        <f>_xlfn.STDEV.S(B2:C11)</f>
        <v>7.1573459281562057E-2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Safety</vt:lpstr>
      <vt:lpstr>Trajectory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Abdelrahman Ahmed Nageeb Taha</dc:creator>
  <dc:description/>
  <cp:lastModifiedBy>Abdelrahman Ahmed Nageeb Taha</cp:lastModifiedBy>
  <cp:revision>0</cp:revision>
  <dcterms:created xsi:type="dcterms:W3CDTF">2026-08-09T15:55:01Z</dcterms:created>
  <dcterms:modified xsi:type="dcterms:W3CDTF">2026-10-18T07:47:58Z</dcterms:modified>
  <dc:language>en-US</dc:language>
</cp:coreProperties>
</file>